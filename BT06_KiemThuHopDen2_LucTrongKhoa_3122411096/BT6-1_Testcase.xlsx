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c6\3010\"/>
    </mc:Choice>
  </mc:AlternateContent>
  <bookViews>
    <workbookView xWindow="0" yWindow="0" windowWidth="20490" windowHeight="7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D6" i="1"/>
  <c r="C6" i="1" s="1"/>
  <c r="B6" i="1"/>
  <c r="A6" i="1"/>
</calcChain>
</file>

<file path=xl/comments1.xml><?xml version="1.0" encoding="utf-8"?>
<comments xmlns="http://schemas.openxmlformats.org/spreadsheetml/2006/main">
  <authors>
    <author/>
  </authors>
  <commentList>
    <comment ref="F8" authorId="0" shapeId="0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<sst xmlns="http://schemas.openxmlformats.org/spreadsheetml/2006/main" count="58" uniqueCount="47">
  <si>
    <t>Module Code</t>
  </si>
  <si>
    <t>Module3</t>
  </si>
  <si>
    <t>Test requirement</t>
  </si>
  <si>
    <t>Kiểm thử và xác minh các quy tắc nghiệp vụ liên quan đến việc xác định tính bắt buộc của thông tin khách hàng (Retail/Non-retail) và logic tính thuế 10% (dựa trên địa điểm, khách hàng, và sản phẩm)</t>
  </si>
  <si>
    <t>Tester</t>
  </si>
  <si>
    <t>Pass</t>
  </si>
  <si>
    <t>Fail</t>
  </si>
  <si>
    <t>Untested</t>
  </si>
  <si>
    <t>N/A</t>
  </si>
  <si>
    <t>Number of Test cases</t>
  </si>
  <si>
    <t>ID</t>
  </si>
  <si>
    <t>Test Case Description(Mô tả)</t>
  </si>
  <si>
    <t>Test Case Procedure(Các bước thực hiện)</t>
  </si>
  <si>
    <t>Expected Output(Kết quả mong đợi)</t>
  </si>
  <si>
    <t>Inter-test case Dependence(Phụ thuộc TC)</t>
  </si>
  <si>
    <t>Result</t>
  </si>
  <si>
    <t>Test date</t>
  </si>
  <si>
    <t>Note</t>
  </si>
  <si>
    <t>[Module3-1]</t>
  </si>
  <si>
    <t>(Rule 1) Khách sỉ, Trong nước, Cả hai chịu thuế.</t>
  </si>
  <si>
    <t>1. Tạo đơn hàng với Loại KH = Non-retail. 2. Chọn Địa điểm = Domestic. 3. Chọn Khách hàng có Taxable = Yes. 4. Chọn Sản phẩm có Taxable = Yes. 5. Tiến hành thanh toán (Finish &amp; Pay).</t>
  </si>
  <si>
    <t>1. Hệ thống BẮT BUỘC người dùng phải chọn/nhập thông tin khách hàng trước khi tiếp tục. 2. Hệ thống TÍNH 10% THUẾ vào tổng đơn hàng.</t>
  </si>
  <si>
    <t>None</t>
  </si>
  <si>
    <t>[Module3-2]</t>
  </si>
  <si>
    <t>(Rule 2) Khách sỉ, Trong nước, SP KHÔNG chịu thuế.</t>
  </si>
  <si>
    <r>
      <t xml:space="preserve">1. Tạo đơn hàng với Loại KH = Non-retail. 2. Chọn Địa điểm = Domestic. 3. Chọn Khách hàng có Taxable = Yes. 4. Chọn Sản phẩm có Taxable = </t>
    </r>
    <r>
      <rPr>
        <b/>
        <sz val="10"/>
        <color rgb="FF1B1C1D"/>
        <rFont val="Tahoma"/>
        <family val="2"/>
      </rPr>
      <t>No</t>
    </r>
    <r>
      <rPr>
        <sz val="10"/>
        <color rgb="FF1B1C1D"/>
        <rFont val="Tahoma"/>
        <family val="2"/>
      </rPr>
      <t>. 5. Tiến hành thanh toán.</t>
    </r>
  </si>
  <si>
    <r>
      <t xml:space="preserve">1. Hệ thống BẮT BUỘC người dùng phải chọn/nhập thông tin khách hàng. 2. Hệ thống </t>
    </r>
    <r>
      <rPr>
        <b/>
        <sz val="10"/>
        <color rgb="FF1B1C1D"/>
        <rFont val="Tahoma"/>
        <family val="2"/>
      </rPr>
      <t>KHÔNG TÍNH THUẾ</t>
    </r>
    <r>
      <rPr>
        <sz val="10"/>
        <color rgb="FF1B1C1D"/>
        <rFont val="Tahoma"/>
        <family val="2"/>
      </rPr>
      <t>.</t>
    </r>
  </si>
  <si>
    <t>[Module3-3]</t>
  </si>
  <si>
    <t>(Rule 3) Khách sỉ, Trong nước, KH KHÔNG chịu thuế.</t>
  </si>
  <si>
    <r>
      <t xml:space="preserve">1. Tạo đơn hàng với Loại KH = Non-retail. 2. Chọn Địa điểm = Domestic. 3. Chọn Khách hàng có Taxable = </t>
    </r>
    <r>
      <rPr>
        <b/>
        <sz val="10"/>
        <color rgb="FF1B1C1D"/>
        <rFont val="Tahoma"/>
        <family val="2"/>
      </rPr>
      <t>No</t>
    </r>
    <r>
      <rPr>
        <sz val="10"/>
        <color rgb="FF1B1C1D"/>
        <rFont val="Tahoma"/>
        <family val="2"/>
      </rPr>
      <t>. 4. Chọn Sản phẩm (Taxable = Yes/No đều được). 5. Tiến hành thanh toán.</t>
    </r>
  </si>
  <si>
    <t>[Module3-4]</t>
  </si>
  <si>
    <t>(Rule 4) Khách sỉ, Ngoài nước.</t>
  </si>
  <si>
    <r>
      <t xml:space="preserve">1. Tạo đơn hàng với Loại KH = Non-retail. 2. Chọn Địa điểm = </t>
    </r>
    <r>
      <rPr>
        <b/>
        <sz val="10"/>
        <color rgb="FF1B1C1D"/>
        <rFont val="Tahoma"/>
        <family val="2"/>
      </rPr>
      <t>Overseas</t>
    </r>
    <r>
      <rPr>
        <sz val="10"/>
        <color rgb="FF1B1C1D"/>
        <rFont val="Tahoma"/>
        <family val="2"/>
      </rPr>
      <t>. 3. Chọn Khách hàng (Taxable = Yes/No). 4. Chọn Sản phẩm (Taxable = Yes/No). 5. Tiến hành thanh toán.</t>
    </r>
  </si>
  <si>
    <t>[Module3-5]</t>
  </si>
  <si>
    <t>(Rule 5) Khách lẻ, Trong nước, Cả hai chịu thuế.</t>
  </si>
  <si>
    <r>
      <t xml:space="preserve">1. Tạo đơn hàng với Loại KH = </t>
    </r>
    <r>
      <rPr>
        <b/>
        <sz val="10"/>
        <color rgb="FF1B1C1D"/>
        <rFont val="Tahoma"/>
        <family val="2"/>
      </rPr>
      <t>Retail</t>
    </r>
    <r>
      <rPr>
        <sz val="10"/>
        <color rgb="FF1B1C1D"/>
        <rFont val="Tahoma"/>
        <family val="2"/>
      </rPr>
      <t>. 2. Chọn Địa điểm = Domestic. 3. Chọn Khách hàng có Taxable = Yes (hoặc không chọn KH). 4. Chọn Sản phẩm có Taxable = Yes. 5. Tiến hành thanh toán.</t>
    </r>
  </si>
  <si>
    <r>
      <t xml:space="preserve">1. Hệ thống </t>
    </r>
    <r>
      <rPr>
        <b/>
        <sz val="10"/>
        <color rgb="FF1B1C1D"/>
        <rFont val="Tahoma"/>
        <family val="2"/>
      </rPr>
      <t>KHÔNG</t>
    </r>
    <r>
      <rPr>
        <sz val="10"/>
        <color rgb="FF1B1C1D"/>
        <rFont val="Tahoma"/>
        <family val="2"/>
      </rPr>
      <t xml:space="preserve"> bắt buộc phải có thông tin khách hàng. 2. Hệ thống </t>
    </r>
    <r>
      <rPr>
        <b/>
        <sz val="10"/>
        <color rgb="FF1B1C1D"/>
        <rFont val="Tahoma"/>
        <family val="2"/>
      </rPr>
      <t>TÍNH 10% THUẾ</t>
    </r>
    <r>
      <rPr>
        <sz val="10"/>
        <color rgb="FF1B1C1D"/>
        <rFont val="Tahoma"/>
        <family val="2"/>
      </rPr>
      <t xml:space="preserve"> vào tổng đơn hàng.</t>
    </r>
  </si>
  <si>
    <t>[Module3-6]</t>
  </si>
  <si>
    <t>(Rule 6) Khách lẻ, Trong nước, SP KHÔNG chịu thuế.</t>
  </si>
  <si>
    <r>
      <t xml:space="preserve">1. Tạo đơn hàng với Loại KH = </t>
    </r>
    <r>
      <rPr>
        <b/>
        <sz val="10"/>
        <color rgb="FF1B1C1D"/>
        <rFont val="Tahoma"/>
        <family val="2"/>
      </rPr>
      <t>Retail</t>
    </r>
    <r>
      <rPr>
        <sz val="10"/>
        <color rgb="FF1B1C1D"/>
        <rFont val="Tahoma"/>
        <family val="2"/>
      </rPr>
      <t xml:space="preserve">. 2. Chọn Địa điểm = Domestic. 3. Chọn Khách hàng có Taxable = Yes (hoặc không chọn KH). 4. Chọn Sản phẩm có Taxable = </t>
    </r>
    <r>
      <rPr>
        <b/>
        <sz val="10"/>
        <color rgb="FF1B1C1D"/>
        <rFont val="Tahoma"/>
        <family val="2"/>
      </rPr>
      <t>No</t>
    </r>
    <r>
      <rPr>
        <sz val="10"/>
        <color rgb="FF1B1C1D"/>
        <rFont val="Tahoma"/>
        <family val="2"/>
      </rPr>
      <t>. 5. Tiến hành thanh toán.</t>
    </r>
  </si>
  <si>
    <r>
      <t xml:space="preserve">1. Hệ thống </t>
    </r>
    <r>
      <rPr>
        <b/>
        <sz val="10"/>
        <color rgb="FF1B1C1D"/>
        <rFont val="Tahoma"/>
        <family val="2"/>
      </rPr>
      <t>KHÔNG</t>
    </r>
    <r>
      <rPr>
        <sz val="10"/>
        <color rgb="FF1B1C1D"/>
        <rFont val="Tahoma"/>
        <family val="2"/>
      </rPr>
      <t xml:space="preserve"> bắt buộc phải có thông tin khách hàng. 2. Hệ thống </t>
    </r>
    <r>
      <rPr>
        <b/>
        <sz val="10"/>
        <color rgb="FF1B1C1D"/>
        <rFont val="Tahoma"/>
        <family val="2"/>
      </rPr>
      <t>KHÔNG TÍNH THUẾ</t>
    </r>
    <r>
      <rPr>
        <sz val="10"/>
        <color rgb="FF1B1C1D"/>
        <rFont val="Tahoma"/>
        <family val="2"/>
      </rPr>
      <t>.</t>
    </r>
  </si>
  <si>
    <t>[Module3-7]</t>
  </si>
  <si>
    <t>(Rule 7) Khách lẻ, Trong nước, KH KHÔNG chịu thuế.</t>
  </si>
  <si>
    <r>
      <t xml:space="preserve">1. Tạo đơn hàng với Loại KH = </t>
    </r>
    <r>
      <rPr>
        <b/>
        <sz val="10"/>
        <color rgb="FF1B1C1D"/>
        <rFont val="Tahoma"/>
        <family val="2"/>
      </rPr>
      <t>Retail</t>
    </r>
    <r>
      <rPr>
        <sz val="10"/>
        <color rgb="FF1B1C1D"/>
        <rFont val="Tahoma"/>
        <family val="2"/>
      </rPr>
      <t xml:space="preserve">. 2. Chọn Địa điểm = Domestic. 3. Chọn Khách hàng có Taxable = </t>
    </r>
    <r>
      <rPr>
        <b/>
        <sz val="10"/>
        <color rgb="FF1B1C1D"/>
        <rFont val="Tahoma"/>
        <family val="2"/>
      </rPr>
      <t>No</t>
    </r>
    <r>
      <rPr>
        <sz val="10"/>
        <color rgb="FF1B1C1D"/>
        <rFont val="Tahoma"/>
        <family val="2"/>
      </rPr>
      <t>. 4. Chọn Sản phẩm (Taxable = Yes/No). 5. Tiến hành thanh toán.</t>
    </r>
  </si>
  <si>
    <t>[Module3-8]</t>
  </si>
  <si>
    <t>(Rule 8) Khách lẻ, Ngoài nước.</t>
  </si>
  <si>
    <r>
      <t xml:space="preserve">1. Tạo đơn hàng với Loại KH = </t>
    </r>
    <r>
      <rPr>
        <b/>
        <sz val="10"/>
        <color rgb="FF1B1C1D"/>
        <rFont val="Tahoma"/>
        <family val="2"/>
      </rPr>
      <t>Retail</t>
    </r>
    <r>
      <rPr>
        <sz val="10"/>
        <color rgb="FF1B1C1D"/>
        <rFont val="Tahoma"/>
        <family val="2"/>
      </rPr>
      <t xml:space="preserve">. 2. Chọn Địa điểm = </t>
    </r>
    <r>
      <rPr>
        <b/>
        <sz val="10"/>
        <color rgb="FF1B1C1D"/>
        <rFont val="Tahoma"/>
        <family val="2"/>
      </rPr>
      <t>Overseas</t>
    </r>
    <r>
      <rPr>
        <sz val="10"/>
        <color rgb="FF1B1C1D"/>
        <rFont val="Tahoma"/>
        <family val="2"/>
      </rPr>
      <t>. 3. Chọn Khách hàng (Taxable = Yes/No, hoặc không chọn). 4. Chọn Sản phẩm (Taxable = Yes/No). 5. Tiến hành thanh toán.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</si>
</sst>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2"/>
      <color theme="1"/>
      <name val="Times New Roman"/>
      <family val="2"/>
    </font>
    <font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1"/>
      <name val="ＭＳ Ｐゴシック"/>
      <charset val="128"/>
    </font>
    <font>
      <i/>
      <sz val="10"/>
      <color indexed="17"/>
      <name val="Tahoma"/>
      <family val="2"/>
    </font>
    <font>
      <b/>
      <sz val="10"/>
      <color indexed="8"/>
      <name val="Tahoma"/>
      <family val="2"/>
    </font>
    <font>
      <b/>
      <sz val="10"/>
      <color indexed="9"/>
      <name val="Tahoma"/>
      <family val="2"/>
    </font>
    <font>
      <b/>
      <sz val="10"/>
      <color rgb="FF1B1C1D"/>
      <name val="Tahoma"/>
      <family val="2"/>
    </font>
    <font>
      <sz val="10"/>
      <color rgb="FF1B1C1D"/>
      <name val="Tahoma"/>
      <family val="2"/>
    </font>
    <font>
      <b/>
      <sz val="8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indexed="18"/>
        <bgColor indexed="32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0" xfId="0" applyFont="1" applyFill="1" applyAlignment="1" applyProtection="1">
      <alignment wrapText="1"/>
    </xf>
    <xf numFmtId="0" fontId="2" fillId="2" borderId="0" xfId="0" applyFont="1" applyFill="1" applyAlignment="1">
      <alignment wrapText="1"/>
    </xf>
    <xf numFmtId="0" fontId="0" fillId="3" borderId="0" xfId="0" applyFill="1" applyBorder="1"/>
    <xf numFmtId="0" fontId="3" fillId="2" borderId="2" xfId="1" applyFont="1" applyFill="1" applyBorder="1" applyAlignment="1">
      <alignment horizontal="left" wrapText="1"/>
    </xf>
    <xf numFmtId="0" fontId="5" fillId="2" borderId="3" xfId="1" applyFont="1" applyFill="1" applyBorder="1" applyAlignment="1">
      <alignment horizontal="left" wrapText="1"/>
    </xf>
    <xf numFmtId="0" fontId="2" fillId="2" borderId="0" xfId="0" applyFont="1" applyFill="1" applyAlignment="1" applyProtection="1">
      <alignment wrapText="1"/>
    </xf>
    <xf numFmtId="0" fontId="3" fillId="2" borderId="4" xfId="1" applyFont="1" applyFill="1" applyBorder="1" applyAlignment="1">
      <alignment horizontal="left" wrapText="1"/>
    </xf>
    <xf numFmtId="0" fontId="5" fillId="2" borderId="5" xfId="1" applyFont="1" applyFill="1" applyBorder="1" applyAlignment="1">
      <alignment horizontal="left" wrapText="1"/>
    </xf>
    <xf numFmtId="0" fontId="6" fillId="2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1" fillId="2" borderId="0" xfId="0" applyFont="1" applyFill="1" applyBorder="1" applyAlignment="1">
      <alignment horizontal="center" wrapText="1"/>
    </xf>
    <xf numFmtId="0" fontId="7" fillId="4" borderId="6" xfId="1" applyFont="1" applyFill="1" applyBorder="1" applyAlignment="1">
      <alignment horizontal="center" vertical="center" wrapText="1"/>
    </xf>
    <xf numFmtId="0" fontId="7" fillId="4" borderId="12" xfId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 indent="1" readingOrder="1"/>
    </xf>
    <xf numFmtId="0" fontId="9" fillId="0" borderId="13" xfId="0" applyFont="1" applyBorder="1" applyAlignment="1">
      <alignment horizontal="left" vertical="center" wrapText="1" indent="1" readingOrder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6"/>
  <sheetViews>
    <sheetView tabSelected="1" topLeftCell="A10" workbookViewId="0">
      <selection activeCell="D9" sqref="D9"/>
    </sheetView>
  </sheetViews>
  <sheetFormatPr defaultColWidth="9" defaultRowHeight="15.75"/>
  <cols>
    <col min="1" max="1" width="11.5" style="6" customWidth="1"/>
    <col min="2" max="2" width="19.125" style="6" customWidth="1"/>
    <col min="3" max="3" width="25.625" style="6" customWidth="1"/>
    <col min="4" max="4" width="30.125" style="6" customWidth="1"/>
    <col min="5" max="5" width="16.875" style="6" customWidth="1"/>
    <col min="6" max="6" width="7.125" style="6" customWidth="1"/>
    <col min="7" max="7" width="9" style="6"/>
    <col min="8" max="8" width="17.625" style="6" customWidth="1"/>
    <col min="9" max="16384" width="9" style="6"/>
  </cols>
  <sheetData>
    <row r="1" spans="1:8" ht="16.5" thickBot="1">
      <c r="A1" s="1"/>
      <c r="B1" s="2"/>
      <c r="C1" s="2"/>
      <c r="D1" s="2"/>
      <c r="E1" s="2"/>
      <c r="F1" s="3"/>
      <c r="G1" s="4"/>
      <c r="H1" s="5"/>
    </row>
    <row r="2" spans="1:8">
      <c r="A2" s="7" t="s">
        <v>0</v>
      </c>
      <c r="B2" s="8" t="s">
        <v>1</v>
      </c>
      <c r="C2" s="8"/>
      <c r="D2" s="8"/>
      <c r="E2" s="8"/>
      <c r="F2" s="8"/>
      <c r="G2" s="9"/>
      <c r="H2" s="5"/>
    </row>
    <row r="3" spans="1:8" ht="26.25">
      <c r="A3" s="10" t="s">
        <v>2</v>
      </c>
      <c r="B3" s="8" t="s">
        <v>3</v>
      </c>
      <c r="C3" s="8"/>
      <c r="D3" s="8"/>
      <c r="E3" s="8"/>
      <c r="F3" s="8"/>
      <c r="G3" s="9"/>
      <c r="H3" s="5"/>
    </row>
    <row r="4" spans="1:8">
      <c r="A4" s="7" t="s">
        <v>4</v>
      </c>
      <c r="B4" s="11"/>
      <c r="C4" s="11"/>
      <c r="D4" s="11"/>
      <c r="E4" s="11"/>
      <c r="F4" s="11"/>
      <c r="G4" s="9"/>
      <c r="H4" s="5"/>
    </row>
    <row r="5" spans="1:8">
      <c r="A5" s="12" t="s">
        <v>5</v>
      </c>
      <c r="B5" s="13" t="s">
        <v>6</v>
      </c>
      <c r="C5" s="13" t="s">
        <v>7</v>
      </c>
      <c r="D5" s="14" t="s">
        <v>8</v>
      </c>
      <c r="E5" s="15" t="s">
        <v>9</v>
      </c>
      <c r="F5" s="15"/>
      <c r="G5" s="16"/>
      <c r="H5" s="16"/>
    </row>
    <row r="6" spans="1:8" ht="16.5" thickBot="1">
      <c r="A6" s="17">
        <f>COUNTIF(F9:F990,"Pass")</f>
        <v>0</v>
      </c>
      <c r="B6" s="18">
        <f>COUNTIF(F9:F990,"Fail")</f>
        <v>0</v>
      </c>
      <c r="C6" s="18">
        <f>E6-D6-B6-A6</f>
        <v>8</v>
      </c>
      <c r="D6" s="19">
        <f>COUNTIF(F$9:F$992,"N/A")</f>
        <v>0</v>
      </c>
      <c r="E6" s="20">
        <f>COUNTA(A9:A990)</f>
        <v>8</v>
      </c>
      <c r="F6" s="20"/>
      <c r="G6" s="16"/>
      <c r="H6" s="16"/>
    </row>
    <row r="7" spans="1:8">
      <c r="A7" s="21"/>
      <c r="B7" s="21"/>
      <c r="C7" s="21"/>
      <c r="D7" s="22"/>
      <c r="E7" s="22"/>
      <c r="F7" s="22"/>
      <c r="G7" s="22"/>
      <c r="H7" s="22"/>
    </row>
    <row r="8" spans="1:8" ht="39" thickBot="1">
      <c r="A8" s="23" t="s">
        <v>10</v>
      </c>
      <c r="B8" s="23" t="s">
        <v>11</v>
      </c>
      <c r="C8" s="23" t="s">
        <v>12</v>
      </c>
      <c r="D8" s="23" t="s">
        <v>13</v>
      </c>
      <c r="E8" s="24" t="s">
        <v>14</v>
      </c>
      <c r="F8" s="24" t="s">
        <v>15</v>
      </c>
      <c r="G8" s="24" t="s">
        <v>16</v>
      </c>
      <c r="H8" s="23" t="s">
        <v>17</v>
      </c>
    </row>
    <row r="9" spans="1:8" ht="77.25" thickBot="1">
      <c r="A9" s="25" t="s">
        <v>18</v>
      </c>
      <c r="B9" s="26" t="s">
        <v>19</v>
      </c>
      <c r="C9" s="26" t="s">
        <v>20</v>
      </c>
      <c r="D9" s="26" t="s">
        <v>21</v>
      </c>
      <c r="E9" s="26" t="s">
        <v>22</v>
      </c>
      <c r="F9" s="26"/>
      <c r="G9" s="26"/>
      <c r="H9" s="26"/>
    </row>
    <row r="10" spans="1:8" ht="77.25" thickBot="1">
      <c r="A10" s="25" t="s">
        <v>23</v>
      </c>
      <c r="B10" s="26" t="s">
        <v>24</v>
      </c>
      <c r="C10" s="26" t="s">
        <v>25</v>
      </c>
      <c r="D10" s="26" t="s">
        <v>26</v>
      </c>
      <c r="E10" s="26" t="s">
        <v>22</v>
      </c>
      <c r="F10" s="26"/>
      <c r="G10" s="26"/>
      <c r="H10" s="26"/>
    </row>
    <row r="11" spans="1:8" ht="77.25" thickBot="1">
      <c r="A11" s="25" t="s">
        <v>27</v>
      </c>
      <c r="B11" s="26" t="s">
        <v>28</v>
      </c>
      <c r="C11" s="26" t="s">
        <v>29</v>
      </c>
      <c r="D11" s="26" t="s">
        <v>26</v>
      </c>
      <c r="E11" s="26" t="s">
        <v>22</v>
      </c>
      <c r="F11" s="26"/>
      <c r="G11" s="26"/>
      <c r="H11" s="26"/>
    </row>
    <row r="12" spans="1:8" ht="77.25" thickBot="1">
      <c r="A12" s="25" t="s">
        <v>30</v>
      </c>
      <c r="B12" s="26" t="s">
        <v>31</v>
      </c>
      <c r="C12" s="26" t="s">
        <v>32</v>
      </c>
      <c r="D12" s="26" t="s">
        <v>26</v>
      </c>
      <c r="E12" s="26" t="s">
        <v>22</v>
      </c>
      <c r="F12" s="26"/>
      <c r="G12" s="26"/>
      <c r="H12" s="26"/>
    </row>
    <row r="13" spans="1:8" ht="90" thickBot="1">
      <c r="A13" s="25" t="s">
        <v>33</v>
      </c>
      <c r="B13" s="26" t="s">
        <v>34</v>
      </c>
      <c r="C13" s="26" t="s">
        <v>35</v>
      </c>
      <c r="D13" s="26" t="s">
        <v>36</v>
      </c>
      <c r="E13" s="26" t="s">
        <v>22</v>
      </c>
      <c r="F13" s="26"/>
      <c r="G13" s="26"/>
      <c r="H13" s="26"/>
    </row>
    <row r="14" spans="1:8" ht="90" thickBot="1">
      <c r="A14" s="25" t="s">
        <v>37</v>
      </c>
      <c r="B14" s="26" t="s">
        <v>38</v>
      </c>
      <c r="C14" s="26" t="s">
        <v>39</v>
      </c>
      <c r="D14" s="26" t="s">
        <v>40</v>
      </c>
      <c r="E14" s="26" t="s">
        <v>22</v>
      </c>
      <c r="F14" s="26"/>
      <c r="G14" s="26"/>
      <c r="H14" s="26"/>
    </row>
    <row r="15" spans="1:8" ht="77.25" thickBot="1">
      <c r="A15" s="25" t="s">
        <v>41</v>
      </c>
      <c r="B15" s="26" t="s">
        <v>42</v>
      </c>
      <c r="C15" s="26" t="s">
        <v>43</v>
      </c>
      <c r="D15" s="26" t="s">
        <v>40</v>
      </c>
      <c r="E15" s="26" t="s">
        <v>22</v>
      </c>
      <c r="F15" s="26"/>
      <c r="G15" s="26"/>
      <c r="H15" s="26"/>
    </row>
    <row r="16" spans="1:8" ht="90" thickBot="1">
      <c r="A16" s="25" t="s">
        <v>44</v>
      </c>
      <c r="B16" s="26" t="s">
        <v>45</v>
      </c>
      <c r="C16" s="26" t="s">
        <v>46</v>
      </c>
      <c r="D16" s="26" t="s">
        <v>40</v>
      </c>
      <c r="E16" s="26" t="s">
        <v>22</v>
      </c>
      <c r="F16" s="26"/>
      <c r="G16" s="26"/>
      <c r="H16" s="26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ErrorMessage="1" sqref="F1:F3 F7:F8">
      <formula1>$J$2:$J$6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2025-10-30T14:20:49Z</dcterms:created>
  <dcterms:modified xsi:type="dcterms:W3CDTF">2025-10-30T14:21:13Z</dcterms:modified>
</cp:coreProperties>
</file>