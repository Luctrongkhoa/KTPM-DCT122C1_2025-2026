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c6\2210\"/>
    </mc:Choice>
  </mc:AlternateContent>
  <bookViews>
    <workbookView xWindow="0" yWindow="0" windowWidth="20490" windowHeight="7635" activeTab="1"/>
  </bookViews>
  <sheets>
    <sheet name="Moudle 1" sheetId="1" r:id="rId1"/>
    <sheet name="Moudle 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C5" i="2" s="1"/>
  <c r="D5" i="2"/>
  <c r="B5" i="2"/>
  <c r="A5" i="2"/>
  <c r="E6" i="1"/>
  <c r="D6" i="1"/>
  <c r="C6" i="1"/>
  <c r="B6" i="1"/>
  <c r="A6" i="1"/>
</calcChain>
</file>

<file path=xl/comments1.xml><?xml version="1.0" encoding="utf-8"?>
<comments xmlns="http://schemas.openxmlformats.org/spreadsheetml/2006/main">
  <authors>
    <author/>
  </authors>
  <commentList>
    <comment ref="F8" authorId="0" shapeId="0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G7" authorId="0" shapeId="0">
      <text>
        <r>
          <rPr>
            <b/>
            <sz val="8"/>
            <color indexed="8"/>
            <rFont val="Times New Roman"/>
            <family val="1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<sst xmlns="http://schemas.openxmlformats.org/spreadsheetml/2006/main" count="197" uniqueCount="161">
  <si>
    <t>Module Code</t>
  </si>
  <si>
    <t>Module1</t>
  </si>
  <si>
    <t>Test requirement</t>
  </si>
  <si>
    <t>Kiểm thử chức năng nhập và xác thực Mã sản phẩm (Product Number) theo yêu cầu.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</si>
  <si>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</si>
  <si>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</si>
  <si>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</si>
  <si>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</si>
  <si>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</si>
  <si>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</si>
  <si>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</si>
  <si>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Description(Mô tả)</t>
  </si>
  <si>
    <t>Test Case Procedure(Các bước thực hiện)</t>
  </si>
  <si>
    <t>Expected Output(Kết quả mong đợi)</t>
  </si>
  <si>
    <t>Inter-test case Dependence(Phụ thuộc TC)</t>
  </si>
  <si>
    <t>Result</t>
  </si>
  <si>
    <t>Test date</t>
  </si>
  <si>
    <t>Note</t>
  </si>
  <si>
    <t>[Module1-1]</t>
  </si>
  <si>
    <t>Kiểm tra nhập mã sản phẩm hợp lệ và có trong hệ thống.</t>
  </si>
  <si>
    <r>
      <rPr>
        <sz val="10"/>
        <color rgb="FF1B1C1D"/>
        <rFont val="Tahoma"/>
        <family val="2"/>
      </rPr>
      <t xml:space="preserve">1. Nhập mã </t>
    </r>
    <r>
      <rPr>
        <sz val="10"/>
        <color rgb="FF444746"/>
        <rFont val="Tahoma"/>
        <family val="2"/>
      </rPr>
      <t>1234567890</t>
    </r>
    <r>
      <rPr>
        <sz val="10"/>
        <color rgb="FF1B1C1D"/>
        <rFont val="Tahoma"/>
        <family val="2"/>
      </rPr>
      <t>. 2. Nhấn phím Enter.</t>
    </r>
  </si>
  <si>
    <t>1. Hệ thống chấp nhận yêu cầu, tải thông tin của sản phẩm (tên, giá WAC...) lên màn hình.</t>
  </si>
  <si>
    <t>None</t>
  </si>
  <si>
    <r>
      <rPr>
        <b/>
        <sz val="10"/>
        <color rgb="FF1B1C1D"/>
        <rFont val="Tahoma"/>
        <family val="2"/>
      </rPr>
      <t>Giả định:</t>
    </r>
    <r>
      <rPr>
        <sz val="10"/>
        <color rgb="FF1B1C1D"/>
        <rFont val="Tahoma"/>
        <family val="2"/>
      </rPr>
      <t xml:space="preserve"> Mã </t>
    </r>
    <r>
      <rPr>
        <sz val="10"/>
        <color rgb="FF444746"/>
        <rFont val="Tahoma"/>
        <family val="2"/>
      </rPr>
      <t>1234567890</t>
    </r>
    <r>
      <rPr>
        <sz val="10"/>
        <color rgb="FF1B1C1D"/>
        <rFont val="Tahoma"/>
        <family val="2"/>
      </rPr>
      <t xml:space="preserve"> có thật trong CSDL và không chịu thuế.</t>
    </r>
  </si>
  <si>
    <t>[Module1-2]</t>
  </si>
  <si>
    <t>Kiểm tra nhập mã sản phẩm hợp lệ nhưng không có trong hệ thống.</t>
  </si>
  <si>
    <r>
      <rPr>
        <sz val="10"/>
        <color rgb="FF1B1C1D"/>
        <rFont val="Tahoma"/>
        <family val="2"/>
      </rPr>
      <t xml:space="preserve">1. Nhập mã </t>
    </r>
    <r>
      <rPr>
        <sz val="10"/>
        <color rgb="FF444746"/>
        <rFont val="Tahoma"/>
        <family val="2"/>
      </rPr>
      <t>9999999999</t>
    </r>
    <r>
      <rPr>
        <sz val="10"/>
        <color rgb="FF1B1C1D"/>
        <rFont val="Tahoma"/>
        <family val="2"/>
      </rPr>
      <t>. 2. Nhấn phím Enter.</t>
    </r>
  </si>
  <si>
    <t>1. Màn hình hiển thị thông báo lỗi "Item not found".</t>
  </si>
  <si>
    <r>
      <rPr>
        <b/>
        <sz val="10"/>
        <color rgb="FF1B1C1D"/>
        <rFont val="Tahoma"/>
        <family val="2"/>
      </rPr>
      <t>Giả định:</t>
    </r>
    <r>
      <rPr>
        <sz val="10"/>
        <color rgb="FF1B1C1D"/>
        <rFont val="Tahoma"/>
        <family val="2"/>
      </rPr>
      <t xml:space="preserve"> Mã </t>
    </r>
    <r>
      <rPr>
        <sz val="10"/>
        <color rgb="FF444746"/>
        <rFont val="Tahoma"/>
        <family val="2"/>
      </rPr>
      <t>9999999999</t>
    </r>
    <r>
      <rPr>
        <sz val="10"/>
        <color rgb="FF1B1C1D"/>
        <rFont val="Tahoma"/>
        <family val="2"/>
      </rPr>
      <t xml:space="preserve"> không có trong CSDL.</t>
    </r>
  </si>
  <si>
    <t>[Module1-3]</t>
  </si>
  <si>
    <t>Kiểm tra sản phẩm có thuế (phải hiện dấu *).</t>
  </si>
  <si>
    <r>
      <rPr>
        <sz val="10"/>
        <color rgb="FF1B1C1D"/>
        <rFont val="Tahoma"/>
        <family val="2"/>
      </rPr>
      <t xml:space="preserve">1. Nhập mã </t>
    </r>
    <r>
      <rPr>
        <sz val="10"/>
        <color rgb="FF444746"/>
        <rFont val="Tahoma"/>
        <family val="2"/>
      </rPr>
      <t>5555555555</t>
    </r>
    <r>
      <rPr>
        <sz val="10"/>
        <color rgb="FF1B1C1D"/>
        <rFont val="Tahoma"/>
        <family val="2"/>
      </rPr>
      <t>. 2. Nhấn phím Enter.</t>
    </r>
  </si>
  <si>
    <r>
      <rPr>
        <sz val="10"/>
        <color rgb="FF1B1C1D"/>
        <rFont val="Tahoma"/>
        <family val="2"/>
      </rPr>
      <t xml:space="preserve">1. Tải thông tin sản phẩm. 2. Ô "Product Number" hiển thị </t>
    </r>
    <r>
      <rPr>
        <sz val="10"/>
        <color rgb="FF444746"/>
        <rFont val="Tahoma"/>
        <family val="2"/>
      </rPr>
      <t>5555555555*</t>
    </r>
    <r>
      <rPr>
        <sz val="10"/>
        <color rgb="FF1B1C1D"/>
        <rFont val="Tahoma"/>
        <family val="2"/>
      </rPr>
      <t xml:space="preserve"> (có dấu sao).</t>
    </r>
  </si>
  <si>
    <r>
      <rPr>
        <b/>
        <sz val="10"/>
        <color rgb="FF1B1C1D"/>
        <rFont val="Tahoma"/>
        <family val="2"/>
      </rPr>
      <t>Giả định:</t>
    </r>
    <r>
      <rPr>
        <sz val="10"/>
        <color rgb="FF1B1C1D"/>
        <rFont val="Tahoma"/>
        <family val="2"/>
      </rPr>
      <t xml:space="preserve"> Mã </t>
    </r>
    <r>
      <rPr>
        <sz val="10"/>
        <color rgb="FF444746"/>
        <rFont val="Tahoma"/>
        <family val="2"/>
      </rPr>
      <t>5555555555</t>
    </r>
    <r>
      <rPr>
        <sz val="10"/>
        <color rgb="FF1B1C1D"/>
        <rFont val="Tahoma"/>
        <family val="2"/>
      </rPr>
      <t xml:space="preserve"> có thật và mục "Taxable"=Y.</t>
    </r>
  </si>
  <si>
    <t>[Module1-4]</t>
  </si>
  <si>
    <t>Kiểm tra mã sản phẩm có số 0 ở đầu.</t>
  </si>
  <si>
    <r>
      <rPr>
        <sz val="10"/>
        <color rgb="FF1B1C1D"/>
        <rFont val="Tahoma"/>
        <family val="2"/>
      </rPr>
      <t xml:space="preserve">1. Nhập mã </t>
    </r>
    <r>
      <rPr>
        <sz val="10"/>
        <color rgb="FF444746"/>
        <rFont val="Tahoma"/>
        <family val="2"/>
      </rPr>
      <t>0000012345</t>
    </r>
    <r>
      <rPr>
        <sz val="10"/>
        <color rgb="FF1B1C1D"/>
        <rFont val="Tahoma"/>
        <family val="2"/>
      </rPr>
      <t>. 2. Nhấn phím Enter.</t>
    </r>
  </si>
  <si>
    <r>
      <rPr>
        <sz val="10"/>
        <color rgb="FF1B1C1D"/>
        <rFont val="Tahoma"/>
        <family val="2"/>
      </rPr>
      <t xml:space="preserve">1. Hệ thống tìm đúng sản phẩm </t>
    </r>
    <r>
      <rPr>
        <sz val="10"/>
        <color rgb="FF444746"/>
        <rFont val="Tahoma"/>
        <family val="2"/>
      </rPr>
      <t>0000012345</t>
    </r>
    <r>
      <rPr>
        <sz val="10"/>
        <color rgb="FF1B1C1D"/>
        <rFont val="Tahoma"/>
        <family val="2"/>
      </rPr>
      <t xml:space="preserve"> và tải thông tin lên.</t>
    </r>
  </si>
  <si>
    <r>
      <rPr>
        <b/>
        <sz val="10"/>
        <color rgb="FF1B1C1D"/>
        <rFont val="Tahoma"/>
        <family val="2"/>
      </rPr>
      <t>Giả định:</t>
    </r>
    <r>
      <rPr>
        <sz val="10"/>
        <color rgb="FF1B1C1D"/>
        <rFont val="Tahoma"/>
        <family val="2"/>
      </rPr>
      <t xml:space="preserve"> Mã </t>
    </r>
    <r>
      <rPr>
        <sz val="10"/>
        <color rgb="FF444746"/>
        <rFont val="Tahoma"/>
        <family val="2"/>
      </rPr>
      <t>0000012345</t>
    </r>
    <r>
      <rPr>
        <sz val="10"/>
        <color rgb="FF1B1C1D"/>
        <rFont val="Tahoma"/>
        <family val="2"/>
      </rPr>
      <t xml:space="preserve"> có thật trong CSDL.</t>
    </r>
  </si>
  <si>
    <t>[Module1-5]</t>
  </si>
  <si>
    <t>Kiểm tra nhập thiếu số (chỉ nhập 9 số).</t>
  </si>
  <si>
    <r>
      <rPr>
        <sz val="10"/>
        <color rgb="FF1B1C1D"/>
        <rFont val="Tahoma"/>
        <family val="2"/>
      </rPr>
      <t xml:space="preserve">1. Nhập </t>
    </r>
    <r>
      <rPr>
        <sz val="10"/>
        <color rgb="FF444746"/>
        <rFont val="Tahoma"/>
        <family val="2"/>
      </rPr>
      <t>123456789</t>
    </r>
    <r>
      <rPr>
        <sz val="10"/>
        <color rgb="FF1B1C1D"/>
        <rFont val="Tahoma"/>
        <family val="2"/>
      </rPr>
      <t>. 2. Nhấn phím Enter.</t>
    </r>
  </si>
  <si>
    <t xml:space="preserve">1. Hệ thống báo lỗi "Product Number must be 10 digits" </t>
  </si>
  <si>
    <t>[Module1-6]</t>
  </si>
  <si>
    <t>Kiểm tra nhập thừa số (nhập 11 số).</t>
  </si>
  <si>
    <r>
      <rPr>
        <sz val="10"/>
        <color rgb="FF1B1C1D"/>
        <rFont val="Tahoma"/>
        <family val="2"/>
      </rPr>
      <t xml:space="preserve">1. Thử nhập </t>
    </r>
    <r>
      <rPr>
        <sz val="10"/>
        <color rgb="FF444746"/>
        <rFont val="Tahoma"/>
        <family val="2"/>
      </rPr>
      <t>12345678901</t>
    </r>
    <r>
      <rPr>
        <sz val="10"/>
        <color rgb="FF1B1C1D"/>
        <rFont val="Tahoma"/>
        <family val="2"/>
      </rPr>
      <t>.</t>
    </r>
  </si>
  <si>
    <t>1. Ô nhập liệu tự động chặn, không cho phép nhập ký tự thứ 11.</t>
  </si>
  <si>
    <t>[Module1-7]</t>
  </si>
  <si>
    <t>Kiểm tra nhập chữ cái vào ô.</t>
  </si>
  <si>
    <r>
      <rPr>
        <sz val="10"/>
        <color rgb="FF1B1C1D"/>
        <rFont val="Tahoma"/>
        <family val="2"/>
      </rPr>
      <t xml:space="preserve">1. Thử nhập </t>
    </r>
    <r>
      <rPr>
        <sz val="10"/>
        <color rgb="FF444746"/>
        <rFont val="Tahoma"/>
        <family val="2"/>
      </rPr>
      <t>123456789A</t>
    </r>
    <r>
      <rPr>
        <sz val="10"/>
        <color rgb="FF1B1C1D"/>
        <rFont val="Tahoma"/>
        <family val="2"/>
      </rPr>
      <t>.</t>
    </r>
  </si>
  <si>
    <t>1. Ô nhập liệu chặn lại, không cho nhập chữ 'A' (vì đây là ô "masked").</t>
  </si>
  <si>
    <t>[Module1-8]</t>
  </si>
  <si>
    <t>Kiểm tra nhập ký tự đặc biệt vào ô.</t>
  </si>
  <si>
    <r>
      <rPr>
        <sz val="10"/>
        <color rgb="FF1B1C1D"/>
        <rFont val="Tahoma"/>
        <family val="2"/>
      </rPr>
      <t xml:space="preserve">1. Thử nhập </t>
    </r>
    <r>
      <rPr>
        <sz val="10"/>
        <color rgb="FF444746"/>
        <rFont val="Tahoma"/>
        <family val="2"/>
      </rPr>
      <t>123456789@</t>
    </r>
    <r>
      <rPr>
        <sz val="10"/>
        <color rgb="FF1B1C1D"/>
        <rFont val="Tahoma"/>
        <family val="2"/>
      </rPr>
      <t>.</t>
    </r>
  </si>
  <si>
    <t>1. Ô nhập liệu chặn lại, không cho nhập ký tự '@'.</t>
  </si>
  <si>
    <t>[Module1-9]</t>
  </si>
  <si>
    <t>Kiểm tra khi để trống, không nhập gì.</t>
  </si>
  <si>
    <t>1. Không nhập gì vào ô Product Number. 2. Nhấn phím Enter.</t>
  </si>
  <si>
    <t>1. Hệ thống báo lỗi yêu cầu nhập, ví dụ: "Product Number is required".</t>
  </si>
  <si>
    <t>[Module1-10]</t>
  </si>
  <si>
    <t>Kiểm tra nhập có phím cách (khoảng trắng).</t>
  </si>
  <si>
    <r>
      <rPr>
        <sz val="10"/>
        <color rgb="FF1B1C1D"/>
        <rFont val="Tahoma"/>
        <family val="2"/>
      </rPr>
      <t xml:space="preserve">1. Thử nhập </t>
    </r>
    <r>
      <rPr>
        <sz val="10"/>
        <color rgb="FF444746"/>
        <rFont val="Tahoma"/>
        <family val="2"/>
      </rPr>
      <t>12345 6789</t>
    </r>
    <r>
      <rPr>
        <sz val="10"/>
        <color rgb="FF1B1C1D"/>
        <rFont val="Tahoma"/>
        <family val="2"/>
      </rPr>
      <t>.</t>
    </r>
  </si>
  <si>
    <t>1. Ô nhập liệu chặn lại, không cho nhập phím cách.</t>
  </si>
  <si>
    <t>Module2</t>
  </si>
  <si>
    <t>Kiểm thử chức năng Profit Margin</t>
  </si>
  <si>
    <t>Test Case Description</t>
  </si>
  <si>
    <t>Test Case Procedure</t>
  </si>
  <si>
    <t>Expected Output</t>
  </si>
  <si>
    <t>Inter-test case Dependence</t>
  </si>
  <si>
    <t>Test data</t>
  </si>
  <si>
    <t>Tính New Price từ Margin (happy path)</t>
  </si>
  <si>
    <t>1. Set WAC = 8.25. 2. Nhập Margin% = 30. 3. Nhấn Tab/Enter (blur).</t>
  </si>
  <si>
    <t>NewPrice = 8.25 × 1.3 = 10.725 → UI hiển thị (ví dụ 10.73 nếu 2 decimals).</t>
  </si>
  <si>
    <t>WAC=8.25; Margin=30%</t>
  </si>
  <si>
    <t>So sánh business threshold dùng giá trị toán học (10.725).</t>
  </si>
  <si>
    <t>Tính Margin% khi user thay New Price (reverse calc)</t>
  </si>
  <si>
    <t>1. Set WAC = 8.25. 2. Nhập NewPrice = 11.00. 3. Blur.</t>
  </si>
  <si>
    <t>Margin% = 33.333...% → UI hiển thị (ví dụ 33.33%).</t>
  </si>
  <si>
    <t>WAC=8.25; NewPrice=11.00</t>
  </si>
  <si>
    <t>Check rounding hiển thị Margin.</t>
  </si>
  <si>
    <t>Từ chối NewPrice gây profit &lt; 30% (business rule)</t>
  </si>
  <si>
    <t>1. WAC = 8.25. 2. Nhập NewPrice = 9.00. 3. Cố lưu dòng.</t>
  </si>
  <si>
    <t>Hệ thống hiển thị lỗi: 'Selling must make at least 30% profit' và không cho lưu.</t>
  </si>
  <si>
    <t>WAC=8.25; NewPrice=9.00</t>
  </si>
  <si>
    <t>9/8.25 −1 = 9.09% &lt;30%.</t>
  </si>
  <si>
    <t>Boundary: NewPrice = exact 1.3 × WAC (đúng 30%)</t>
  </si>
  <si>
    <t>1. WAC = 8.25. 2. Nhập NewPrice = 10.725. 3. Blur/Save.</t>
  </si>
  <si>
    <t>Chấp nhận (exact boundary). Nếu UI hiển 2 decimals, hiển 10.73 nhưng nội bộ treat = 10.725.</t>
  </si>
  <si>
    <t>WAC=8.25; NewPrice=10.725</t>
  </si>
  <si>
    <t>Precision: so sánh dùng giá trị toán học.</t>
  </si>
  <si>
    <t>WAC = 0 (invalid / division-by-zero)</t>
  </si>
  <si>
    <t>1. Set WAC = 0.00. 2. Nhập Margin = 30. 3. Blur.</t>
  </si>
  <si>
    <t>Hệ thống cảnh báo: 'WAC must be &gt; 0 to compute profit' hoặc không cho nhập WAC=0.</t>
  </si>
  <si>
    <t>WAC=0.00; Margin=30%</t>
  </si>
  <si>
    <t>Edge case về dữ liệu.</t>
  </si>
  <si>
    <t>WAC negative (invalid)</t>
  </si>
  <si>
    <t>1. Nhập WAC = -0.01. 2. Nhập Margin = 30.</t>
  </si>
  <si>
    <t>Hệ thống báo validation error: WAC không hợp lệ, reject.</t>
  </si>
  <si>
    <t>WAC=-0.01; Margin=30%</t>
  </si>
  <si>
    <t>Currency negative không chấp nhận.</t>
  </si>
  <si>
    <t>NewPrice vượt quá currency max (overflow)</t>
  </si>
  <si>
    <t>1. WAC = 900,000.00. 2. Margin = 20%. 3. Blur.</t>
  </si>
  <si>
    <t>NewPrice = 1,080,000.00 → &gt; 999,999.99 → cảnh báo 'Price outside allowed range'. Không cho lưu.</t>
  </si>
  <si>
    <t>WAC=900000.00; Margin=20%</t>
  </si>
  <si>
    <t>Test boundary high value.</t>
  </si>
  <si>
    <t>Margin negative (invalid)</t>
  </si>
  <si>
    <t>1. WAC = 10.00. 2. Nhập Margin = -5.0. 3. Blur.</t>
  </si>
  <si>
    <t>Hệ thống từ chối hoặc báo lỗi validation: 'Margin must be &gt;= 0'.</t>
  </si>
  <si>
    <t>WAC=10.00; Margin=-5%</t>
  </si>
  <si>
    <t>Nếu spec cho phép negative thì cập nhật TC.</t>
  </si>
  <si>
    <t>Discount tính NewPrice, và enforce 30% rule</t>
  </si>
  <si>
    <t>1. CurrentPrice = 10.05. 2. Discount% = 10 → Blur. 3. Kiểm profit so với WAC.</t>
  </si>
  <si>
    <t>NewPrice = 9.045. Re-evaluate profit; example: 9.045/6.95 −1 = 30.1% → pass.</t>
  </si>
  <si>
    <t>CurrentPrice=10.05; Discount=10%; WAC=6.95 (example)</t>
  </si>
  <si>
    <t>Tester nên thử cả WAC khác để gây fail.</t>
  </si>
  <si>
    <t>Discount boundary 100% (NewPrice = 0)</t>
  </si>
  <si>
    <t>1. CurrentPrice = 100.00. 2. Discount = 100%. 3. Blur.</t>
  </si>
  <si>
    <t>NewPrice = 0.00 → hệ thống cảnh báo/reject vì profit negative/zero.</t>
  </si>
  <si>
    <t>CurrentPrice=100.00; Discount=100%</t>
  </si>
  <si>
    <t>Confirm spec: discount 100% typically not allowed.</t>
  </si>
  <si>
    <t>User-entered NewPrice overrides calculation (priority)</t>
  </si>
  <si>
    <t>1. WAC = 8.25. 2. Margin = 40 → system calc NewPrice. 3. User nhập NewPrice = 13.50. 4. Blur/Save.</t>
  </si>
  <si>
    <t>Kỳ vọng: accept user NewPrice; Margin% cập nhật = 63.636...%; check profit≥30% → pass.</t>
  </si>
  <si>
    <t>WAC=8.25; Margin=40%; User-entered NewPrice=13.50</t>
  </si>
  <si>
    <t>Nếu spec khác (Margin always override), cần điều chỉnh.</t>
  </si>
  <si>
    <t>Precision/rounding check (so sánh threshold)</t>
  </si>
  <si>
    <t>1. WAC = 1.00. 2. Nhập NewPrice = 1.2999. 3. Blur.</t>
  </si>
  <si>
    <t>1.2999 &lt; 1.30 → profit &lt;30% → reject even nếu UI show 1.30 after rounding.</t>
  </si>
  <si>
    <t>WAC=1.00; NewPrice=1.2999</t>
  </si>
  <si>
    <t>Use unrounded internal values for business comparison.</t>
  </si>
  <si>
    <t>Tax integration: taxable product &amp; taxable customer</t>
  </si>
  <si>
    <t>1. Product taxable=Y; Customer taxable=Y. 2. WAC=8.25. 3. Margin=30 → compute tax &amp; totals.</t>
  </si>
  <si>
    <t>NewPrice=10.725; Tax=10% of 10.725 = 1.0725; Total = 11.7975. Profit check uses exc tax price.</t>
  </si>
  <si>
    <t>Product taxable=Y; Customer taxable=Y; WAC=8.25; Margin=30%</t>
  </si>
  <si>
    <t>Check rounding policy for tax &amp; total.</t>
  </si>
  <si>
    <t>Margin just-below boundary (29.99%) — BVA invalid</t>
  </si>
  <si>
    <t>1. WAC=8.25. 2. Margin=29.99. 3. Blur.</t>
  </si>
  <si>
    <t>NewPrice = 10.724175 → &lt; 10.725 → system rejects (profit &lt;30%).</t>
  </si>
  <si>
    <t>WAC=8.25; Margin=29.99%</t>
  </si>
  <si>
    <t>BVA: test min-1, exact, min+1 around threshold.</t>
  </si>
  <si>
    <t>Interaction: change Current Price after Discount</t>
  </si>
  <si>
    <t>1. CurrentPrice = 10.00; Discount = 10% → NewPrice = 9.00. 2. Change CurrentPrice → 12.00 → Blur.</t>
  </si>
  <si>
    <t>NewPrice recalculated = 12.00 × 0.9 = 10.80. Re-evaluate profit vs WAC.</t>
  </si>
  <si>
    <t>CurrentPrice initial=10.00; Discount=10%; then CurrentPrice changed to 12.00; WAC=8.25</t>
  </si>
  <si>
    <t>Confirms CurrentPrice↔Discount dependency.</t>
  </si>
  <si>
    <t>a</t>
  </si>
  <si>
    <t>[Module2-1]</t>
  </si>
  <si>
    <t>[Module2-2]</t>
  </si>
  <si>
    <t>[Module2-3]</t>
  </si>
  <si>
    <t>[Module2-4]</t>
  </si>
  <si>
    <t>[Module2-5]</t>
  </si>
  <si>
    <t>[Module2-6]</t>
  </si>
  <si>
    <t>[Module2-7]</t>
  </si>
  <si>
    <t>[Module2-8]</t>
  </si>
  <si>
    <t>[Module2-9]</t>
  </si>
  <si>
    <t>[Module2-10]</t>
  </si>
  <si>
    <t>[Module2-11]</t>
  </si>
  <si>
    <t>[Module2-12]</t>
  </si>
  <si>
    <t>[Module2-13]</t>
  </si>
  <si>
    <t>[Module2-14]</t>
  </si>
  <si>
    <t>[Module2-15]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</si>
</sst>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color theme="1"/>
      <name val="Times New Roman"/>
      <charset val="134"/>
    </font>
    <font>
      <b/>
      <sz val="10"/>
      <name val="Tahoma"/>
      <family val="2"/>
    </font>
    <font>
      <i/>
      <sz val="10"/>
      <color indexed="17"/>
      <name val="Tahoma"/>
      <family val="2"/>
    </font>
    <font>
      <sz val="10"/>
      <name val="Tahoma"/>
      <family val="2"/>
    </font>
    <font>
      <b/>
      <sz val="10"/>
      <color indexed="8"/>
      <name val="Tahoma"/>
      <family val="2"/>
    </font>
    <font>
      <sz val="10"/>
      <color indexed="8"/>
      <name val="Tahoma"/>
      <family val="2"/>
    </font>
    <font>
      <b/>
      <sz val="10"/>
      <color indexed="9"/>
      <name val="Tahoma"/>
      <family val="2"/>
    </font>
    <font>
      <b/>
      <sz val="10"/>
      <color rgb="FF1B1C1D"/>
      <name val="Tahoma"/>
      <family val="2"/>
    </font>
    <font>
      <sz val="11"/>
      <color theme="1"/>
      <name val="Calibri"/>
      <family val="2"/>
      <scheme val="minor"/>
    </font>
    <font>
      <sz val="10"/>
      <color rgb="FF1B1C1D"/>
      <name val="Tahoma"/>
      <family val="2"/>
    </font>
    <font>
      <sz val="11"/>
      <name val="ＭＳ Ｐゴシック"/>
      <charset val="128"/>
    </font>
    <font>
      <sz val="10"/>
      <color rgb="FF444746"/>
      <name val="Tahoma"/>
      <family val="2"/>
    </font>
    <font>
      <b/>
      <sz val="8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/>
  </cellStyleXfs>
  <cellXfs count="33">
    <xf numFmtId="0" fontId="0" fillId="0" borderId="0" xfId="0"/>
    <xf numFmtId="0" fontId="1" fillId="2" borderId="1" xfId="1" applyFont="1" applyFill="1" applyBorder="1" applyAlignment="1">
      <alignment horizontal="left" wrapText="1"/>
    </xf>
    <xf numFmtId="0" fontId="3" fillId="2" borderId="0" xfId="0" applyFont="1" applyFill="1" applyAlignment="1" applyProtection="1">
      <alignment wrapText="1"/>
    </xf>
    <xf numFmtId="0" fontId="3" fillId="2" borderId="0" xfId="0" applyFont="1" applyFill="1" applyAlignment="1">
      <alignment wrapText="1"/>
    </xf>
    <xf numFmtId="0" fontId="1" fillId="2" borderId="3" xfId="1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0" xfId="0" applyFont="1" applyFill="1" applyAlignment="1"/>
    <xf numFmtId="0" fontId="5" fillId="2" borderId="0" xfId="0" applyFont="1" applyFill="1" applyBorder="1" applyAlignment="1">
      <alignment horizontal="center" wrapText="1"/>
    </xf>
    <xf numFmtId="0" fontId="6" fillId="3" borderId="11" xfId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 readingOrder="1"/>
    </xf>
    <xf numFmtId="0" fontId="8" fillId="0" borderId="11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center"/>
    </xf>
    <xf numFmtId="0" fontId="7" fillId="0" borderId="0" xfId="0" applyFont="1" applyBorder="1" applyAlignment="1">
      <alignment horizontal="left" vertical="center" wrapText="1" readingOrder="1"/>
    </xf>
    <xf numFmtId="0" fontId="8" fillId="0" borderId="0" xfId="0" applyFont="1" applyFill="1" applyAlignment="1"/>
    <xf numFmtId="0" fontId="0" fillId="4" borderId="0" xfId="0" applyFill="1" applyBorder="1"/>
    <xf numFmtId="0" fontId="5" fillId="2" borderId="12" xfId="0" applyFont="1" applyFill="1" applyBorder="1" applyAlignment="1"/>
    <xf numFmtId="0" fontId="5" fillId="2" borderId="12" xfId="0" applyFont="1" applyFill="1" applyBorder="1" applyAlignment="1">
      <alignment wrapText="1"/>
    </xf>
    <xf numFmtId="0" fontId="3" fillId="2" borderId="12" xfId="0" applyFont="1" applyFill="1" applyBorder="1" applyAlignment="1">
      <alignment wrapText="1"/>
    </xf>
    <xf numFmtId="0" fontId="1" fillId="2" borderId="0" xfId="0" applyFont="1" applyFill="1" applyAlignment="1" applyProtection="1">
      <alignment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left" vertical="center" wrapText="1" indent="1" readingOrder="1"/>
    </xf>
    <xf numFmtId="0" fontId="9" fillId="0" borderId="14" xfId="0" applyFont="1" applyBorder="1" applyAlignment="1">
      <alignment horizontal="left" vertical="center" wrapText="1" indent="1" readingOrder="1"/>
    </xf>
    <xf numFmtId="0" fontId="2" fillId="2" borderId="2" xfId="1" applyFont="1" applyFill="1" applyBorder="1" applyAlignment="1">
      <alignment horizontal="left" wrapText="1"/>
    </xf>
    <xf numFmtId="0" fontId="2" fillId="2" borderId="4" xfId="1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8"/>
  <sheetViews>
    <sheetView workbookViewId="0">
      <selection activeCell="D8" sqref="D8"/>
    </sheetView>
  </sheetViews>
  <sheetFormatPr defaultColWidth="9" defaultRowHeight="15.75"/>
  <cols>
    <col min="1" max="1" width="11.5" style="20" customWidth="1"/>
    <col min="2" max="2" width="19.125" style="20" customWidth="1"/>
    <col min="3" max="3" width="25.625" style="20" customWidth="1"/>
    <col min="4" max="4" width="30.125" style="20" customWidth="1"/>
    <col min="5" max="5" width="16.875" style="20" customWidth="1"/>
    <col min="6" max="6" width="7.125" style="20" customWidth="1"/>
    <col min="7" max="7" width="9" style="20"/>
    <col min="8" max="8" width="17.625" style="20" customWidth="1"/>
    <col min="9" max="16384" width="9" style="20"/>
  </cols>
  <sheetData>
    <row r="1" spans="1:8">
      <c r="A1" s="21"/>
      <c r="B1" s="22"/>
      <c r="C1" s="22"/>
      <c r="D1" s="22"/>
      <c r="E1" s="22"/>
      <c r="F1" s="23"/>
      <c r="G1" s="24"/>
      <c r="H1" s="3"/>
    </row>
    <row r="2" spans="1:8">
      <c r="A2" s="1" t="s">
        <v>0</v>
      </c>
      <c r="B2" s="29" t="s">
        <v>1</v>
      </c>
      <c r="C2" s="29"/>
      <c r="D2" s="29"/>
      <c r="E2" s="29"/>
      <c r="F2" s="29"/>
      <c r="G2" s="2"/>
      <c r="H2" s="3"/>
    </row>
    <row r="3" spans="1:8" ht="26.25">
      <c r="A3" s="4" t="s">
        <v>2</v>
      </c>
      <c r="B3" s="29" t="s">
        <v>3</v>
      </c>
      <c r="C3" s="29"/>
      <c r="D3" s="29"/>
      <c r="E3" s="29"/>
      <c r="F3" s="29"/>
      <c r="G3" s="2"/>
      <c r="H3" s="3"/>
    </row>
    <row r="4" spans="1:8">
      <c r="A4" s="1" t="s">
        <v>4</v>
      </c>
      <c r="B4" s="30"/>
      <c r="C4" s="30"/>
      <c r="D4" s="30"/>
      <c r="E4" s="30"/>
      <c r="F4" s="30"/>
      <c r="G4" s="2"/>
      <c r="H4" s="3"/>
    </row>
    <row r="5" spans="1:8">
      <c r="A5" s="5" t="s">
        <v>5</v>
      </c>
      <c r="B5" s="6" t="s">
        <v>6</v>
      </c>
      <c r="C5" s="6" t="s">
        <v>7</v>
      </c>
      <c r="D5" s="7" t="s">
        <v>8</v>
      </c>
      <c r="E5" s="31" t="s">
        <v>9</v>
      </c>
      <c r="F5" s="31"/>
      <c r="G5" s="8"/>
      <c r="H5" s="8"/>
    </row>
    <row r="6" spans="1:8">
      <c r="A6" s="9">
        <f>COUNTIF(F9:F992,"Pass")</f>
        <v>0</v>
      </c>
      <c r="B6" s="10">
        <f>COUNTIF(F9:F992,"Fail")</f>
        <v>0</v>
      </c>
      <c r="C6" s="10">
        <f>E6-D6-B6-A6</f>
        <v>10</v>
      </c>
      <c r="D6" s="11">
        <f>COUNTIF(F$9:F$994,"N/A")</f>
        <v>0</v>
      </c>
      <c r="E6" s="32">
        <f>COUNTA(A9:A992)</f>
        <v>10</v>
      </c>
      <c r="F6" s="32"/>
      <c r="G6" s="8"/>
      <c r="H6" s="8"/>
    </row>
    <row r="7" spans="1:8">
      <c r="A7" s="12"/>
      <c r="B7" s="12"/>
      <c r="C7" s="12"/>
      <c r="D7" s="13"/>
      <c r="E7" s="13"/>
      <c r="F7" s="13"/>
      <c r="G7" s="13"/>
      <c r="H7" s="13"/>
    </row>
    <row r="8" spans="1:8" ht="38.25">
      <c r="A8" s="25" t="s">
        <v>10</v>
      </c>
      <c r="B8" s="25" t="s">
        <v>11</v>
      </c>
      <c r="C8" s="25" t="s">
        <v>12</v>
      </c>
      <c r="D8" s="25" t="s">
        <v>13</v>
      </c>
      <c r="E8" s="26" t="s">
        <v>14</v>
      </c>
      <c r="F8" s="26" t="s">
        <v>15</v>
      </c>
      <c r="G8" s="26" t="s">
        <v>16</v>
      </c>
      <c r="H8" s="25" t="s">
        <v>17</v>
      </c>
    </row>
    <row r="9" spans="1:8" ht="51">
      <c r="A9" s="27" t="s">
        <v>18</v>
      </c>
      <c r="B9" s="28" t="s">
        <v>19</v>
      </c>
      <c r="C9" s="28" t="s">
        <v>20</v>
      </c>
      <c r="D9" s="28" t="s">
        <v>21</v>
      </c>
      <c r="E9" s="28" t="s">
        <v>22</v>
      </c>
      <c r="F9" s="28"/>
      <c r="G9" s="28"/>
      <c r="H9" s="27" t="s">
        <v>23</v>
      </c>
    </row>
    <row r="10" spans="1:8" ht="51">
      <c r="A10" s="27" t="s">
        <v>24</v>
      </c>
      <c r="B10" s="28" t="s">
        <v>25</v>
      </c>
      <c r="C10" s="28" t="s">
        <v>26</v>
      </c>
      <c r="D10" s="28" t="s">
        <v>27</v>
      </c>
      <c r="E10" s="28" t="s">
        <v>22</v>
      </c>
      <c r="F10" s="28"/>
      <c r="G10" s="28"/>
      <c r="H10" s="27" t="s">
        <v>28</v>
      </c>
    </row>
    <row r="11" spans="1:8" ht="38.25">
      <c r="A11" s="27" t="s">
        <v>29</v>
      </c>
      <c r="B11" s="28" t="s">
        <v>30</v>
      </c>
      <c r="C11" s="28" t="s">
        <v>31</v>
      </c>
      <c r="D11" s="28" t="s">
        <v>32</v>
      </c>
      <c r="E11" s="28" t="s">
        <v>22</v>
      </c>
      <c r="F11" s="28"/>
      <c r="G11" s="28"/>
      <c r="H11" s="27" t="s">
        <v>33</v>
      </c>
    </row>
    <row r="12" spans="1:8" ht="38.25">
      <c r="A12" s="27" t="s">
        <v>34</v>
      </c>
      <c r="B12" s="28" t="s">
        <v>35</v>
      </c>
      <c r="C12" s="28" t="s">
        <v>36</v>
      </c>
      <c r="D12" s="28" t="s">
        <v>37</v>
      </c>
      <c r="E12" s="28" t="s">
        <v>22</v>
      </c>
      <c r="F12" s="28"/>
      <c r="G12" s="28"/>
      <c r="H12" s="27" t="s">
        <v>38</v>
      </c>
    </row>
    <row r="13" spans="1:8" ht="25.5">
      <c r="A13" s="27" t="s">
        <v>39</v>
      </c>
      <c r="B13" s="28" t="s">
        <v>40</v>
      </c>
      <c r="C13" s="28" t="s">
        <v>41</v>
      </c>
      <c r="D13" s="28" t="s">
        <v>42</v>
      </c>
      <c r="E13" s="28" t="s">
        <v>22</v>
      </c>
      <c r="F13" s="28"/>
      <c r="G13" s="28"/>
      <c r="H13" s="28"/>
    </row>
    <row r="14" spans="1:8" ht="25.5">
      <c r="A14" s="27" t="s">
        <v>43</v>
      </c>
      <c r="B14" s="28" t="s">
        <v>44</v>
      </c>
      <c r="C14" s="28" t="s">
        <v>45</v>
      </c>
      <c r="D14" s="28" t="s">
        <v>46</v>
      </c>
      <c r="E14" s="28" t="s">
        <v>22</v>
      </c>
      <c r="F14" s="28"/>
      <c r="G14" s="28"/>
      <c r="H14" s="28"/>
    </row>
    <row r="15" spans="1:8" ht="25.5">
      <c r="A15" s="27" t="s">
        <v>47</v>
      </c>
      <c r="B15" s="28" t="s">
        <v>48</v>
      </c>
      <c r="C15" s="28" t="s">
        <v>49</v>
      </c>
      <c r="D15" s="28" t="s">
        <v>50</v>
      </c>
      <c r="E15" s="28" t="s">
        <v>22</v>
      </c>
      <c r="F15" s="28"/>
      <c r="G15" s="28"/>
      <c r="H15" s="28"/>
    </row>
    <row r="16" spans="1:8" ht="25.5">
      <c r="A16" s="27" t="s">
        <v>51</v>
      </c>
      <c r="B16" s="28" t="s">
        <v>52</v>
      </c>
      <c r="C16" s="28" t="s">
        <v>53</v>
      </c>
      <c r="D16" s="28" t="s">
        <v>54</v>
      </c>
      <c r="E16" s="28" t="s">
        <v>22</v>
      </c>
      <c r="F16" s="28"/>
      <c r="G16" s="28"/>
      <c r="H16" s="28"/>
    </row>
    <row r="17" spans="1:8" ht="25.5">
      <c r="A17" s="27" t="s">
        <v>55</v>
      </c>
      <c r="B17" s="28" t="s">
        <v>56</v>
      </c>
      <c r="C17" s="28" t="s">
        <v>57</v>
      </c>
      <c r="D17" s="28" t="s">
        <v>58</v>
      </c>
      <c r="E17" s="28" t="s">
        <v>22</v>
      </c>
      <c r="F17" s="28"/>
      <c r="G17" s="28"/>
      <c r="H17" s="28"/>
    </row>
    <row r="18" spans="1:8" ht="25.5">
      <c r="A18" s="27" t="s">
        <v>59</v>
      </c>
      <c r="B18" s="28" t="s">
        <v>60</v>
      </c>
      <c r="C18" s="28" t="s">
        <v>61</v>
      </c>
      <c r="D18" s="28" t="s">
        <v>62</v>
      </c>
      <c r="E18" s="28" t="s">
        <v>22</v>
      </c>
      <c r="F18" s="28"/>
      <c r="G18" s="28"/>
      <c r="H18" s="28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ErrorMessage="1" sqref="F1:F3 F7:F8">
      <formula1>$J$2:$J$6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3"/>
  <sheetViews>
    <sheetView tabSelected="1" topLeftCell="A3" zoomScaleNormal="100" workbookViewId="0">
      <selection activeCell="B16" sqref="B16"/>
    </sheetView>
  </sheetViews>
  <sheetFormatPr defaultColWidth="9" defaultRowHeight="15.75"/>
  <cols>
    <col min="1" max="1" width="14.625" customWidth="1"/>
    <col min="2" max="2" width="47.25" customWidth="1"/>
    <col min="3" max="3" width="76.75" customWidth="1"/>
    <col min="4" max="4" width="75" customWidth="1"/>
    <col min="5" max="5" width="14.75" customWidth="1"/>
    <col min="6" max="6" width="68.125" customWidth="1"/>
    <col min="7" max="7" width="6.125" customWidth="1"/>
    <col min="8" max="8" width="8.375" customWidth="1"/>
    <col min="9" max="9" width="49.125" customWidth="1"/>
  </cols>
  <sheetData>
    <row r="1" spans="1:9">
      <c r="A1" s="1" t="s">
        <v>0</v>
      </c>
      <c r="B1" s="29" t="s">
        <v>63</v>
      </c>
      <c r="C1" s="29"/>
      <c r="D1" s="29"/>
      <c r="E1" s="29"/>
      <c r="F1" s="29"/>
      <c r="G1" s="2"/>
      <c r="H1" s="3"/>
    </row>
    <row r="2" spans="1:9" ht="26.25">
      <c r="A2" s="4" t="s">
        <v>2</v>
      </c>
      <c r="B2" s="29" t="s">
        <v>64</v>
      </c>
      <c r="C2" s="29"/>
      <c r="D2" s="29"/>
      <c r="E2" s="29"/>
      <c r="F2" s="29"/>
      <c r="G2" s="2"/>
      <c r="H2" s="3"/>
    </row>
    <row r="3" spans="1:9">
      <c r="A3" s="1" t="s">
        <v>4</v>
      </c>
      <c r="B3" s="30"/>
      <c r="C3" s="30"/>
      <c r="D3" s="30"/>
      <c r="E3" s="30"/>
      <c r="F3" s="30"/>
      <c r="G3" s="2"/>
      <c r="H3" s="3"/>
    </row>
    <row r="4" spans="1:9">
      <c r="A4" s="5" t="s">
        <v>5</v>
      </c>
      <c r="B4" s="6" t="s">
        <v>6</v>
      </c>
      <c r="C4" s="6" t="s">
        <v>7</v>
      </c>
      <c r="D4" s="7" t="s">
        <v>8</v>
      </c>
      <c r="E4" s="31" t="s">
        <v>9</v>
      </c>
      <c r="F4" s="31"/>
      <c r="G4" s="8"/>
      <c r="H4" s="8"/>
    </row>
    <row r="5" spans="1:9">
      <c r="A5" s="9">
        <f>COUNTIF(F8:F991,"Pass")</f>
        <v>0</v>
      </c>
      <c r="B5" s="10">
        <f>COUNTIF(F8:F991,"Fail")</f>
        <v>0</v>
      </c>
      <c r="C5" s="10">
        <f>E5-D5-B5-A5</f>
        <v>15</v>
      </c>
      <c r="D5" s="11">
        <f>COUNTIF(F$23:F$994,"N/A")</f>
        <v>0</v>
      </c>
      <c r="E5" s="32">
        <f>COUNTA(A8:A991)</f>
        <v>15</v>
      </c>
      <c r="F5" s="32"/>
      <c r="G5" s="8"/>
      <c r="H5" s="8"/>
    </row>
    <row r="6" spans="1:9">
      <c r="A6" s="12"/>
      <c r="B6" s="12"/>
      <c r="C6" s="12"/>
      <c r="D6" s="13"/>
      <c r="E6" s="13"/>
      <c r="F6" s="13"/>
      <c r="G6" s="13"/>
      <c r="H6" s="13"/>
    </row>
    <row r="7" spans="1:9" ht="25.5">
      <c r="A7" s="14" t="s">
        <v>10</v>
      </c>
      <c r="B7" s="14" t="s">
        <v>65</v>
      </c>
      <c r="C7" s="14" t="s">
        <v>66</v>
      </c>
      <c r="D7" s="14" t="s">
        <v>67</v>
      </c>
      <c r="E7" s="14" t="s">
        <v>68</v>
      </c>
      <c r="F7" s="14" t="s">
        <v>69</v>
      </c>
      <c r="G7" s="14" t="s">
        <v>15</v>
      </c>
      <c r="H7" s="14" t="s">
        <v>16</v>
      </c>
      <c r="I7" s="14" t="s">
        <v>17</v>
      </c>
    </row>
    <row r="8" spans="1:9">
      <c r="A8" s="15" t="s">
        <v>146</v>
      </c>
      <c r="B8" s="16" t="s">
        <v>70</v>
      </c>
      <c r="C8" s="16" t="s">
        <v>71</v>
      </c>
      <c r="D8" s="16" t="s">
        <v>72</v>
      </c>
      <c r="E8" s="17" t="s">
        <v>22</v>
      </c>
      <c r="F8" s="16" t="s">
        <v>73</v>
      </c>
      <c r="G8" s="17"/>
      <c r="H8" s="17"/>
      <c r="I8" s="16" t="s">
        <v>74</v>
      </c>
    </row>
    <row r="9" spans="1:9">
      <c r="A9" s="15" t="s">
        <v>147</v>
      </c>
      <c r="B9" s="16" t="s">
        <v>75</v>
      </c>
      <c r="C9" s="16" t="s">
        <v>76</v>
      </c>
      <c r="D9" s="16" t="s">
        <v>77</v>
      </c>
      <c r="E9" s="17" t="s">
        <v>22</v>
      </c>
      <c r="F9" s="16" t="s">
        <v>78</v>
      </c>
      <c r="G9" s="17"/>
      <c r="H9" s="17"/>
      <c r="I9" s="16" t="s">
        <v>79</v>
      </c>
    </row>
    <row r="10" spans="1:9">
      <c r="A10" s="15" t="s">
        <v>148</v>
      </c>
      <c r="B10" s="16" t="s">
        <v>80</v>
      </c>
      <c r="C10" s="16" t="s">
        <v>81</v>
      </c>
      <c r="D10" s="16" t="s">
        <v>82</v>
      </c>
      <c r="E10" s="17" t="s">
        <v>22</v>
      </c>
      <c r="F10" s="16" t="s">
        <v>83</v>
      </c>
      <c r="G10" s="17"/>
      <c r="H10" s="17"/>
      <c r="I10" s="16" t="s">
        <v>84</v>
      </c>
    </row>
    <row r="11" spans="1:9">
      <c r="A11" s="15" t="s">
        <v>149</v>
      </c>
      <c r="B11" s="16" t="s">
        <v>85</v>
      </c>
      <c r="C11" s="16" t="s">
        <v>86</v>
      </c>
      <c r="D11" s="16" t="s">
        <v>87</v>
      </c>
      <c r="E11" s="17" t="s">
        <v>22</v>
      </c>
      <c r="F11" s="16" t="s">
        <v>88</v>
      </c>
      <c r="G11" s="17"/>
      <c r="H11" s="17"/>
      <c r="I11" s="16" t="s">
        <v>89</v>
      </c>
    </row>
    <row r="12" spans="1:9">
      <c r="A12" s="15" t="s">
        <v>150</v>
      </c>
      <c r="B12" s="16" t="s">
        <v>90</v>
      </c>
      <c r="C12" s="16" t="s">
        <v>91</v>
      </c>
      <c r="D12" s="16" t="s">
        <v>92</v>
      </c>
      <c r="E12" s="17" t="s">
        <v>22</v>
      </c>
      <c r="F12" s="16" t="s">
        <v>93</v>
      </c>
      <c r="G12" s="17"/>
      <c r="H12" s="17"/>
      <c r="I12" s="16" t="s">
        <v>94</v>
      </c>
    </row>
    <row r="13" spans="1:9">
      <c r="A13" s="15" t="s">
        <v>151</v>
      </c>
      <c r="B13" s="16" t="s">
        <v>95</v>
      </c>
      <c r="C13" s="16" t="s">
        <v>96</v>
      </c>
      <c r="D13" s="16" t="s">
        <v>97</v>
      </c>
      <c r="E13" s="17" t="s">
        <v>22</v>
      </c>
      <c r="F13" s="16" t="s">
        <v>98</v>
      </c>
      <c r="G13" s="17"/>
      <c r="H13" s="17"/>
      <c r="I13" s="16" t="s">
        <v>99</v>
      </c>
    </row>
    <row r="14" spans="1:9">
      <c r="A14" s="15" t="s">
        <v>152</v>
      </c>
      <c r="B14" s="16" t="s">
        <v>100</v>
      </c>
      <c r="C14" s="16" t="s">
        <v>101</v>
      </c>
      <c r="D14" s="16" t="s">
        <v>102</v>
      </c>
      <c r="E14" s="17" t="s">
        <v>22</v>
      </c>
      <c r="F14" s="16" t="s">
        <v>103</v>
      </c>
      <c r="G14" s="17"/>
      <c r="H14" s="17"/>
      <c r="I14" s="16" t="s">
        <v>104</v>
      </c>
    </row>
    <row r="15" spans="1:9">
      <c r="A15" s="15" t="s">
        <v>153</v>
      </c>
      <c r="B15" s="16" t="s">
        <v>105</v>
      </c>
      <c r="C15" s="16" t="s">
        <v>106</v>
      </c>
      <c r="D15" s="16" t="s">
        <v>107</v>
      </c>
      <c r="E15" s="17" t="s">
        <v>22</v>
      </c>
      <c r="F15" s="16" t="s">
        <v>108</v>
      </c>
      <c r="G15" s="17"/>
      <c r="H15" s="17"/>
      <c r="I15" s="16" t="s">
        <v>109</v>
      </c>
    </row>
    <row r="16" spans="1:9">
      <c r="A16" s="15" t="s">
        <v>154</v>
      </c>
      <c r="B16" s="16" t="s">
        <v>110</v>
      </c>
      <c r="C16" s="16" t="s">
        <v>111</v>
      </c>
      <c r="D16" s="16" t="s">
        <v>112</v>
      </c>
      <c r="E16" s="17" t="s">
        <v>22</v>
      </c>
      <c r="F16" s="16" t="s">
        <v>113</v>
      </c>
      <c r="G16" s="17"/>
      <c r="H16" s="17"/>
      <c r="I16" s="16" t="s">
        <v>114</v>
      </c>
    </row>
    <row r="17" spans="1:9">
      <c r="A17" s="15" t="s">
        <v>155</v>
      </c>
      <c r="B17" s="16" t="s">
        <v>115</v>
      </c>
      <c r="C17" s="16" t="s">
        <v>116</v>
      </c>
      <c r="D17" s="16" t="s">
        <v>117</v>
      </c>
      <c r="E17" s="17" t="s">
        <v>22</v>
      </c>
      <c r="F17" s="16" t="s">
        <v>118</v>
      </c>
      <c r="G17" s="17"/>
      <c r="H17" s="17"/>
      <c r="I17" s="16" t="s">
        <v>119</v>
      </c>
    </row>
    <row r="18" spans="1:9">
      <c r="A18" s="15" t="s">
        <v>156</v>
      </c>
      <c r="B18" s="16" t="s">
        <v>120</v>
      </c>
      <c r="C18" s="16" t="s">
        <v>121</v>
      </c>
      <c r="D18" s="16" t="s">
        <v>122</v>
      </c>
      <c r="E18" s="17" t="s">
        <v>22</v>
      </c>
      <c r="F18" s="16" t="s">
        <v>123</v>
      </c>
      <c r="G18" s="17"/>
      <c r="H18" s="17"/>
      <c r="I18" s="16" t="s">
        <v>124</v>
      </c>
    </row>
    <row r="19" spans="1:9">
      <c r="A19" s="15" t="s">
        <v>157</v>
      </c>
      <c r="B19" s="16" t="s">
        <v>125</v>
      </c>
      <c r="C19" s="16" t="s">
        <v>126</v>
      </c>
      <c r="D19" s="16" t="s">
        <v>127</v>
      </c>
      <c r="E19" s="17" t="s">
        <v>22</v>
      </c>
      <c r="F19" s="16" t="s">
        <v>128</v>
      </c>
      <c r="G19" s="17"/>
      <c r="H19" s="17"/>
      <c r="I19" s="16" t="s">
        <v>129</v>
      </c>
    </row>
    <row r="20" spans="1:9">
      <c r="A20" s="15" t="s">
        <v>158</v>
      </c>
      <c r="B20" s="16" t="s">
        <v>130</v>
      </c>
      <c r="C20" s="16" t="s">
        <v>131</v>
      </c>
      <c r="D20" s="16" t="s">
        <v>132</v>
      </c>
      <c r="E20" s="17" t="s">
        <v>22</v>
      </c>
      <c r="F20" s="16" t="s">
        <v>133</v>
      </c>
      <c r="G20" s="17"/>
      <c r="H20" s="17"/>
      <c r="I20" s="16" t="s">
        <v>134</v>
      </c>
    </row>
    <row r="21" spans="1:9">
      <c r="A21" s="15" t="s">
        <v>159</v>
      </c>
      <c r="B21" s="16" t="s">
        <v>135</v>
      </c>
      <c r="C21" s="16" t="s">
        <v>136</v>
      </c>
      <c r="D21" s="16" t="s">
        <v>137</v>
      </c>
      <c r="E21" s="17" t="s">
        <v>22</v>
      </c>
      <c r="F21" s="16" t="s">
        <v>138</v>
      </c>
      <c r="G21" s="17"/>
      <c r="H21" s="17"/>
      <c r="I21" s="16" t="s">
        <v>139</v>
      </c>
    </row>
    <row r="22" spans="1:9">
      <c r="A22" s="15" t="s">
        <v>160</v>
      </c>
      <c r="B22" s="16" t="s">
        <v>140</v>
      </c>
      <c r="C22" s="16" t="s">
        <v>141</v>
      </c>
      <c r="D22" s="16" t="s">
        <v>142</v>
      </c>
      <c r="E22" s="17" t="s">
        <v>22</v>
      </c>
      <c r="F22" s="16" t="s">
        <v>143</v>
      </c>
      <c r="G22" s="17"/>
      <c r="H22" s="17"/>
      <c r="I22" s="16" t="s">
        <v>144</v>
      </c>
    </row>
    <row r="23" spans="1:9">
      <c r="A23" s="18"/>
      <c r="B23" s="19"/>
      <c r="C23" s="19"/>
      <c r="D23" s="19"/>
      <c r="E23" s="19"/>
      <c r="G23" s="19"/>
      <c r="H23" s="19"/>
      <c r="I23" s="19"/>
    </row>
    <row r="24" spans="1:9">
      <c r="A24" s="18"/>
      <c r="B24" s="19"/>
      <c r="C24" s="19"/>
      <c r="D24" s="19"/>
      <c r="E24" s="19"/>
      <c r="G24" s="19"/>
      <c r="H24" s="19"/>
      <c r="I24" s="19"/>
    </row>
    <row r="25" spans="1:9">
      <c r="A25" s="18"/>
      <c r="B25" s="19"/>
      <c r="C25" s="19"/>
      <c r="D25" s="19"/>
      <c r="E25" s="19"/>
      <c r="G25" s="19"/>
      <c r="H25" s="19"/>
      <c r="I25" s="19"/>
    </row>
    <row r="26" spans="1:9">
      <c r="A26" s="18"/>
      <c r="B26" s="19"/>
      <c r="C26" s="19"/>
      <c r="D26" s="19"/>
      <c r="E26" s="19"/>
      <c r="G26" s="19"/>
      <c r="H26" s="19"/>
      <c r="I26" s="19"/>
    </row>
    <row r="27" spans="1:9">
      <c r="A27" s="18"/>
      <c r="B27" s="19"/>
      <c r="C27" s="19"/>
      <c r="D27" s="19"/>
      <c r="E27" s="19"/>
      <c r="G27" s="19"/>
      <c r="H27" s="19"/>
      <c r="I27" s="19"/>
    </row>
    <row r="28" spans="1:9">
      <c r="A28" s="18"/>
      <c r="B28" s="19"/>
      <c r="C28" s="19"/>
      <c r="D28" s="19"/>
      <c r="E28" s="19"/>
      <c r="G28" s="19"/>
      <c r="H28" s="19"/>
      <c r="I28" s="19"/>
    </row>
    <row r="29" spans="1:9">
      <c r="A29" s="18"/>
      <c r="B29" s="19"/>
      <c r="C29" s="19"/>
      <c r="D29" s="19"/>
      <c r="E29" s="19"/>
      <c r="G29" s="19"/>
      <c r="H29" s="19"/>
      <c r="I29" s="19"/>
    </row>
    <row r="30" spans="1:9">
      <c r="A30" s="18"/>
      <c r="B30" s="19"/>
      <c r="C30" s="19"/>
      <c r="D30" s="19"/>
      <c r="E30" s="19"/>
      <c r="G30" s="19"/>
      <c r="H30" s="19"/>
      <c r="I30" s="19"/>
    </row>
    <row r="31" spans="1:9">
      <c r="A31" s="18"/>
      <c r="B31" s="19"/>
      <c r="C31" s="19"/>
      <c r="D31" s="19"/>
      <c r="E31" s="19"/>
      <c r="G31" s="19"/>
      <c r="H31" s="19" t="s">
        <v>145</v>
      </c>
      <c r="I31" s="19"/>
    </row>
    <row r="32" spans="1:9">
      <c r="A32" s="18"/>
      <c r="B32" s="19"/>
      <c r="C32" s="19"/>
      <c r="D32" s="19"/>
      <c r="E32" s="19"/>
      <c r="G32" s="19"/>
      <c r="H32" s="19"/>
      <c r="I32" s="19"/>
    </row>
    <row r="33" spans="1:9">
      <c r="A33" s="18"/>
      <c r="B33" s="19"/>
      <c r="C33" s="19"/>
      <c r="D33" s="19"/>
      <c r="E33" s="19"/>
      <c r="G33" s="19"/>
      <c r="H33" s="19"/>
      <c r="I33" s="19"/>
    </row>
  </sheetData>
  <mergeCells count="5">
    <mergeCell ref="B1:F1"/>
    <mergeCell ref="B2:F2"/>
    <mergeCell ref="B3:F3"/>
    <mergeCell ref="E4:F4"/>
    <mergeCell ref="E5:F5"/>
  </mergeCells>
  <dataValidations count="1">
    <dataValidation type="list" allowBlank="1" showErrorMessage="1" sqref="F6 G7 F1:F2">
      <formula1>$J$2:$J$6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Moudle 1</vt:lpstr>
      <vt:lpstr>Moudle 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2025-10-21T11:59:00Z</dcterms:created>
  <dcterms:modified xsi:type="dcterms:W3CDTF">2025-10-22T14:03:57Z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1033-12.2.0.23131</vt:lpwstr>
  </property>
  <property fmtid="{D5CDD505-2E9C-101B-9397-08002B2CF9AE}" pid="3" name="ICV">
    <vt:lpwstr>CA252464EF5B4C38B1D6EF8D8F070CA7_12</vt:lpwstr>
  </property>
</Properties>
</file>